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Studium\OU - PřF\Magisterské\Ročníkový projekt 1\PraxeO\Dokumenty\01 - Inception\"/>
    </mc:Choice>
  </mc:AlternateContent>
  <xr:revisionPtr revIDLastSave="0" documentId="13_ncr:1_{65D5C122-D04E-4C87-96CB-41F56D24C30B}" xr6:coauthVersionLast="47" xr6:coauthVersionMax="47" xr10:uidLastSave="{00000000-0000-0000-0000-000000000000}"/>
  <bookViews>
    <workbookView xWindow="-165" yWindow="-165" windowWidth="29130" windowHeight="15810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K13" i="3"/>
  <c r="K2" i="3"/>
  <c r="K4" i="3"/>
  <c r="K8" i="3"/>
  <c r="K6" i="3"/>
  <c r="K7" i="3"/>
  <c r="K9" i="3"/>
  <c r="K10" i="3"/>
  <c r="K11" i="3"/>
  <c r="K3" i="3"/>
  <c r="K5" i="3"/>
  <c r="E6" i="3" a="1"/>
  <c r="E6" i="3" s="1"/>
  <c r="E11" i="3" a="1"/>
  <c r="E11" i="3" s="1"/>
  <c r="E5" i="3" a="1"/>
  <c r="E5" i="3" s="1"/>
  <c r="E2" i="3" a="1"/>
  <c r="E2" i="3" s="1"/>
  <c r="E10" i="3" a="1"/>
  <c r="E10" i="3" s="1"/>
  <c r="E13" i="3" a="1"/>
  <c r="E13" i="3" s="1"/>
  <c r="E8" i="3" a="1"/>
  <c r="E8" i="3" s="1"/>
  <c r="E9" i="3" a="1"/>
  <c r="E9" i="3" s="1"/>
  <c r="E7" i="3" a="1"/>
  <c r="E7" i="3" s="1"/>
  <c r="E4" i="3" a="1"/>
  <c r="E4" i="3" s="1"/>
  <c r="E3" i="3" a="1"/>
  <c r="E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<sst xmlns="http://schemas.openxmlformats.org/spreadsheetml/2006/main" count="70" uniqueCount="48">
  <si>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</si>
  <si>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</si>
  <si>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</si>
  <si>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</si>
  <si>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</si>
  <si>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</si>
  <si>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</si>
  <si>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</si>
  <si>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</si>
  <si>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</si>
  <si>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</si>
  <si>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</si>
  <si>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</si>
  <si>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</si>
  <si>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</si>
  <si>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Aktivní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</si>
  <si>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</si>
  <si>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</si>
  <si>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</si>
  <si>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</si>
  <si>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</si>
  <si>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</si>
  <si>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</si>
  <si>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</si>
  <si>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</si>
  <si>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</si>
  <si>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</si>
  <si>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</si>
  <si>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</si>
  <si>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</si>
  <si>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</si>
  <si>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</si>
  <si>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</si>
  <si>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</si>
  <si>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</si>
  <si>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</si>
  <si>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</si>
  <si>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</si>
  <si>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</si>
  <si>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</si>
  <si>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</si>
  <si>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</si>
  <si>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</si>
  <si>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</si>
  <si>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</si>
  <si>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</si>
  <si>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</si>
  <si>
    <t>Uzavřeno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</si>
</sst>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0" fontId="0" fillId="0" borderId="0" xfId="0" applyBorder="1"/>
    <xf numFmtId="1" fontId="1" fillId="5" borderId="8" xfId="0" applyNumberFormat="1" applyFont="1" applyFill="1" applyBorder="1" applyAlignment="1">
      <alignment horizontal="center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L13"/>
  <sheetViews>
    <sheetView tabSelected="1" zoomScale="115" zoomScaleNormal="115" workbookViewId="0">
      <selection activeCell="I12" sqref="I12"/>
    </sheetView>
  </sheetViews>
  <sheetFormatPr defaultRowHeight="14.5" x14ac:dyDescent="0.35"/>
  <cols>
    <col min="1" max="1" width="2.7265625" bestFit="1" customWidth="1"/>
    <col min="2" max="2" width="22.6328125" customWidth="1"/>
    <col min="3" max="3" width="34.1796875" customWidth="1"/>
    <col min="4" max="4" width="11.7265625" customWidth="1"/>
    <col min="5" max="5" width="9.08984375" customWidth="1"/>
    <col min="6" max="6" width="6.7265625" customWidth="1"/>
    <col min="7" max="7" width="15.90625" customWidth="1"/>
    <col min="8" max="8" width="32.453125" customWidth="1"/>
    <col min="9" max="9" width="8.6328125" customWidth="1"/>
    <col min="10" max="10" width="14.54296875" bestFit="1" customWidth="1"/>
    <col min="11" max="11" width="8.984375E-2" customWidth="1"/>
    <col min="12" max="12" width="8.7265625" style="22"/>
  </cols>
  <sheetData>
    <row r="1" spans="1:11" ht="45" customHeight="1" thickBot="1" x14ac:dyDescent="0.4">
      <c r="A1" s="7" t="s">
        <v>0</v>
      </c>
      <c r="B1" s="8" t="s">
        <v>1</v>
      </c>
      <c r="C1" s="8" t="s">
        <v>16</v>
      </c>
      <c r="D1" s="8" t="s">
        <v>2</v>
      </c>
      <c r="E1" s="8" t="s">
        <v>19</v>
      </c>
      <c r="F1" s="8" t="s">
        <v>17</v>
      </c>
      <c r="G1" s="8" t="s">
        <v>18</v>
      </c>
      <c r="H1" s="8" t="s">
        <v>3</v>
      </c>
      <c r="I1" s="9" t="s">
        <v>14</v>
      </c>
      <c r="K1" s="19" t="s">
        <v>19</v>
      </c>
    </row>
    <row r="2" spans="1:11" ht="25" thickTop="1" thickBot="1" x14ac:dyDescent="0.4">
      <c r="A2" s="12">
        <v>7</v>
      </c>
      <c r="B2" s="2" t="s">
        <v>6</v>
      </c>
      <c r="C2" s="2" t="s">
        <v>45</v>
      </c>
      <c r="D2" s="6" t="s">
        <v>11</v>
      </c>
      <c r="E2" s="3" t="str" cm="1">
        <f t="array" ref="E2">_xlfn.IFS(F2*G2&gt;19,"Kritická",F2*G2&gt;15,"Vysoká",F2*G2&gt;11,"Střední",F2*G2&gt;8,"Nižší",F2*G2&gt;5.1,"Nízká",F2*G2=0,"Žádná",F2*G2&lt;5.1,"Zanedbatelná")</f>
        <v>Vysoká</v>
      </c>
      <c r="F2" s="1">
        <v>4</v>
      </c>
      <c r="G2" s="1">
        <v>4</v>
      </c>
      <c r="H2" s="2" t="s">
        <v>23</v>
      </c>
      <c r="I2" s="11" t="s">
        <v>15</v>
      </c>
      <c r="K2" s="20">
        <f>F2*G2</f>
        <v>16</v>
      </c>
    </row>
    <row r="3" spans="1:11" ht="36.5" thickBot="1" x14ac:dyDescent="0.4">
      <c r="A3" s="13">
        <v>1</v>
      </c>
      <c r="B3" s="2" t="s">
        <v>4</v>
      </c>
      <c r="C3" s="2" t="s">
        <v>40</v>
      </c>
      <c r="D3" s="1" t="s">
        <v>10</v>
      </c>
      <c r="E3" s="3" t="str" cm="1">
        <f t="array" ref="E3">_xlfn.IFS(F3*G3&gt;19,"Kritická",F3*G3&gt;15,"Vysoká",F3*G3&gt;11,"Střední",F3*G3&gt;8,"Nižší",F3*G3&gt;5.1,"Nízká",F3*G3=0,"Žádná",F3*G3&lt;5.1,"Zanedbatelná")</f>
        <v>Střední</v>
      </c>
      <c r="F3" s="4">
        <v>5</v>
      </c>
      <c r="G3" s="4">
        <v>3</v>
      </c>
      <c r="H3" s="2" t="s">
        <v>30</v>
      </c>
      <c r="I3" s="11" t="s">
        <v>15</v>
      </c>
      <c r="K3" s="21">
        <f>F3*G3</f>
        <v>15</v>
      </c>
    </row>
    <row r="4" spans="1:11" ht="36.5" thickBot="1" x14ac:dyDescent="0.4">
      <c r="A4" s="10">
        <v>5</v>
      </c>
      <c r="B4" s="2" t="s">
        <v>31</v>
      </c>
      <c r="C4" s="2" t="s">
        <v>44</v>
      </c>
      <c r="D4" s="5" t="s">
        <v>9</v>
      </c>
      <c r="E4" s="3" t="str" cm="1">
        <f t="array" ref="E4">_xlfn.IFS(F4*G4&gt;19,"Kritická",F4*G4&gt;15,"Vysoká",F4*G4&gt;11,"Střední",F4*G4&gt;8,"Nižší",F4*G4&gt;5.1,"Nízká",F4*G4=0,"Žádná",F4*G4&lt;5.1,"Zanedbatelná")</f>
        <v>Střední</v>
      </c>
      <c r="F4" s="5">
        <v>5</v>
      </c>
      <c r="G4" s="5">
        <v>3</v>
      </c>
      <c r="H4" s="2" t="s">
        <v>21</v>
      </c>
      <c r="I4" s="11" t="s">
        <v>15</v>
      </c>
      <c r="K4" s="21">
        <f>F4*G4</f>
        <v>15</v>
      </c>
    </row>
    <row r="5" spans="1:11" ht="24.5" thickBot="1" x14ac:dyDescent="0.4">
      <c r="A5" s="12">
        <v>6</v>
      </c>
      <c r="B5" s="2" t="s">
        <v>5</v>
      </c>
      <c r="C5" s="2" t="s">
        <v>38</v>
      </c>
      <c r="D5" s="6" t="s">
        <v>11</v>
      </c>
      <c r="E5" s="3" t="str" cm="1">
        <f t="array" ref="E5">_xlfn.IFS(F5*G5&gt;19,"Kritická",F5*G5&gt;15,"Vysoká",F5*G5&gt;11,"Střední",F5*G5&gt;8,"Nižší",F5*G5&gt;5.1,"Nízká",F5*G5=0,"Žádná",F5*G5&lt;5.1,"Zanedbatelná")</f>
        <v>Střední</v>
      </c>
      <c r="F5" s="6">
        <v>4</v>
      </c>
      <c r="G5" s="6">
        <v>3</v>
      </c>
      <c r="H5" s="2" t="s">
        <v>22</v>
      </c>
      <c r="I5" s="11" t="s">
        <v>15</v>
      </c>
      <c r="K5" s="20">
        <f>F5*G5</f>
        <v>12</v>
      </c>
    </row>
    <row r="6" spans="1:11" ht="24.5" thickBot="1" x14ac:dyDescent="0.4">
      <c r="A6" s="10">
        <v>2</v>
      </c>
      <c r="B6" s="2" t="s">
        <v>29</v>
      </c>
      <c r="C6" s="2" t="s">
        <v>33</v>
      </c>
      <c r="D6" s="5" t="s">
        <v>9</v>
      </c>
      <c r="E6" s="3" t="str" cm="1">
        <f t="array" ref="E6">_xlfn.IFS(F6*G6&gt;19,"Kritická",F6*G6&gt;15,"Vysoká",F6*G6&gt;11,"Střední",F6*G6&gt;8,"Nižší",F6*G6&gt;5.1,"Nízká",F6*G6=0,"Žádná",F6*G6&lt;5.1,"Zanedbatelná")</f>
        <v>Nižší</v>
      </c>
      <c r="F6" s="5">
        <v>5</v>
      </c>
      <c r="G6" s="5">
        <v>2</v>
      </c>
      <c r="H6" s="2" t="s">
        <v>20</v>
      </c>
      <c r="I6" s="11" t="s">
        <v>15</v>
      </c>
      <c r="K6" s="21">
        <f>F6*G6</f>
        <v>10</v>
      </c>
    </row>
    <row r="7" spans="1:11" ht="24.5" thickBot="1" x14ac:dyDescent="0.4">
      <c r="A7" s="10">
        <v>4</v>
      </c>
      <c r="B7" s="2" t="s">
        <v>28</v>
      </c>
      <c r="C7" s="2" t="s">
        <v>33</v>
      </c>
      <c r="D7" s="5" t="s">
        <v>9</v>
      </c>
      <c r="E7" s="3" t="str" cm="1">
        <f t="array" ref="E7">_xlfn.IFS(F7*G7&gt;19,"Kritická",F7*G7&gt;15,"Vysoká",F7*G7&gt;11,"Střední",F7*G7&gt;8,"Nižší",F7*G7&gt;5.1,"Nízká",F7*G7=0,"Žádná",F7*G7&lt;5.1,"Zanedbatelná")</f>
        <v>Nižší</v>
      </c>
      <c r="F7" s="5">
        <v>5</v>
      </c>
      <c r="G7" s="5">
        <v>2</v>
      </c>
      <c r="H7" s="2" t="s">
        <v>20</v>
      </c>
      <c r="I7" s="11" t="s">
        <v>15</v>
      </c>
      <c r="K7" s="21">
        <f>F7*G7</f>
        <v>10</v>
      </c>
    </row>
    <row r="8" spans="1:11" ht="36.5" thickBot="1" x14ac:dyDescent="0.4">
      <c r="A8" s="13">
        <v>11</v>
      </c>
      <c r="B8" s="2" t="s">
        <v>35</v>
      </c>
      <c r="C8" s="2" t="s">
        <v>41</v>
      </c>
      <c r="D8" s="1" t="s">
        <v>10</v>
      </c>
      <c r="E8" s="3" t="str" cm="1">
        <f t="array" ref="E8">_xlfn.IFS(F8*G8&gt;19,"Kritická",F8*G8&gt;15,"Vysoká",F8*G8&gt;11,"Střední",F8*G8&gt;8,"Nižší",F8*G8&gt;5.1,"Nízká",F8*G8=0,"Žádná",F8*G8&lt;5.1,"Zanedbatelná")</f>
        <v>Nižší</v>
      </c>
      <c r="F8" s="4">
        <v>3</v>
      </c>
      <c r="G8" s="4">
        <v>3</v>
      </c>
      <c r="H8" s="2" t="s">
        <v>25</v>
      </c>
      <c r="I8" s="11" t="s">
        <v>15</v>
      </c>
      <c r="K8" s="21">
        <f>F8*G8</f>
        <v>9</v>
      </c>
    </row>
    <row r="9" spans="1:11" ht="24.5" thickBot="1" x14ac:dyDescent="0.4">
      <c r="A9" s="13">
        <v>12</v>
      </c>
      <c r="B9" s="2" t="s">
        <v>8</v>
      </c>
      <c r="C9" s="2" t="s">
        <v>43</v>
      </c>
      <c r="D9" s="1" t="s">
        <v>10</v>
      </c>
      <c r="E9" s="3" t="str" cm="1">
        <f t="array" ref="E9">_xlfn.IFS(F9*G9&gt;19,"Kritická",F9*G9&gt;15,"Vysoká",F9*G9&gt;11,"Střední",F9*G9&gt;8,"Nižší",F9*G9&gt;5.1,"Nízká",F9*G9=0,"Žádná",F9*G9&lt;5.1,"Zanedbatelná")</f>
        <v>Nižší</v>
      </c>
      <c r="F9" s="4">
        <v>3</v>
      </c>
      <c r="G9" s="4">
        <v>3</v>
      </c>
      <c r="H9" s="2" t="s">
        <v>26</v>
      </c>
      <c r="I9" s="11" t="s">
        <v>15</v>
      </c>
      <c r="K9" s="20">
        <f>F9*G9</f>
        <v>9</v>
      </c>
    </row>
    <row r="10" spans="1:11" ht="24.5" thickBot="1" x14ac:dyDescent="0.4">
      <c r="A10" s="10">
        <v>8</v>
      </c>
      <c r="B10" s="2" t="s">
        <v>7</v>
      </c>
      <c r="C10" s="2" t="s">
        <v>32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Nízká</v>
      </c>
      <c r="F10" s="6">
        <v>4</v>
      </c>
      <c r="G10" s="6">
        <v>2</v>
      </c>
      <c r="H10" s="2" t="s">
        <v>13</v>
      </c>
      <c r="I10" s="11" t="s">
        <v>15</v>
      </c>
      <c r="K10" s="21">
        <f>F10*G10</f>
        <v>8</v>
      </c>
    </row>
    <row r="11" spans="1:11" ht="36.5" thickBot="1" x14ac:dyDescent="0.4">
      <c r="A11" s="10">
        <v>3</v>
      </c>
      <c r="B11" s="2" t="s">
        <v>27</v>
      </c>
      <c r="C11" s="2" t="s">
        <v>36</v>
      </c>
      <c r="D11" s="5" t="s">
        <v>9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Nízká</v>
      </c>
      <c r="F11" s="5">
        <v>4</v>
      </c>
      <c r="G11" s="5">
        <v>2</v>
      </c>
      <c r="H11" s="2" t="s">
        <v>42</v>
      </c>
      <c r="I11" s="11" t="s">
        <v>15</v>
      </c>
      <c r="K11" s="21">
        <f>F11*G11</f>
        <v>8</v>
      </c>
    </row>
    <row r="12" spans="1:11" ht="36.5" thickBot="1" x14ac:dyDescent="0.4">
      <c r="A12" s="10">
        <v>9</v>
      </c>
      <c r="B12" s="2" t="s">
        <v>46</v>
      </c>
      <c r="C12" s="2" t="s">
        <v>37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Zanedbatelná</v>
      </c>
      <c r="F12" s="5">
        <v>3</v>
      </c>
      <c r="G12" s="5">
        <v>1</v>
      </c>
      <c r="H12" s="2" t="s">
        <v>12</v>
      </c>
      <c r="I12" s="11" t="s">
        <v>15</v>
      </c>
      <c r="K12" s="21"/>
    </row>
    <row r="13" spans="1:11" ht="36.5" thickBot="1" x14ac:dyDescent="0.4">
      <c r="A13" s="14">
        <v>10</v>
      </c>
      <c r="B13" s="15" t="s">
        <v>34</v>
      </c>
      <c r="C13" s="15" t="s">
        <v>39</v>
      </c>
      <c r="D13" s="16" t="s">
        <v>10</v>
      </c>
      <c r="E13" s="17" t="str" cm="1">
        <f t="array" ref="E13">_xlfn.IFS(F13*G13&gt;19,"Kritická",F13*G13&gt;15,"Vysoká",F13*G13&gt;11,"Střední",F13*G13&gt;8,"Nižší",F13*G13&gt;5.1,"Nízká",F13*G13=0,"Žádná",F13*G13&lt;5.1,"Zanedbatelná")</f>
        <v>Žádná</v>
      </c>
      <c r="F13" s="16">
        <v>3</v>
      </c>
      <c r="G13" s="23">
        <v>0</v>
      </c>
      <c r="H13" s="15" t="s">
        <v>24</v>
      </c>
      <c r="I13" s="18" t="s">
        <v>47</v>
      </c>
      <c r="K13" s="21" t="e">
        <f>#REF!*#REF!</f>
        <v>#REF!</v>
      </c>
    </row>
  </sheetData>
  <sortState xmlns:xlrd2="http://schemas.microsoft.com/office/spreadsheetml/2017/richdata2" ref="A2:K14">
    <sortCondition descending="1" ref="J2:J14"/>
  </sortState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E13">
    <cfRule type="colorScale" priority="16">
      <colorScale>
        <cfvo type="min"/>
        <cfvo type="max"/>
        <color rgb="FFFCFCFF"/>
        <color rgb="FFF8696B"/>
      </colorScale>
    </cfRule>
  </conditionalFormatting>
  <conditionalFormatting sqref="E2:G9 E13:G13 E2:E13">
    <cfRule type="colorScale" priority="18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22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2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Okon Aleš</cp:lastModifiedBy>
  <cp:revision/>
  <cp:lastPrinted>2025-10-30T17:18:42Z</cp:lastPrinted>
  <dcterms:created xsi:type="dcterms:W3CDTF">2025-10-01T13:09:04Z</dcterms:created>
  <dcterms:modified xsi:type="dcterms:W3CDTF">2025-11-29T08:35:10Z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